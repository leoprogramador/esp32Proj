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13_ncr:1_{4004EECB-5EC7-4DA6-8EF3-6FBBC4E46DA4}" xr6:coauthVersionLast="47" xr6:coauthVersionMax="47" xr10:uidLastSave="{00000000-0000-0000-0000-000000000000}"/>
  <bookViews>
    <workbookView xWindow="-108" yWindow="-108" windowWidth="23256" windowHeight="12456" xr2:uid="{F4B72E9B-FD68-F44A-BEA0-E86096EC1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6" i="1"/>
  <c r="F4" i="1"/>
  <c r="F2" i="1"/>
  <c r="F9" i="1" s="1"/>
  <c r="F11" i="1" s="1"/>
</calcChain>
</file>

<file path=xl/sharedStrings.xml><?xml version="1.0" encoding="utf-8"?>
<sst xmlns="http://schemas.openxmlformats.org/spreadsheetml/2006/main" count="46" uniqueCount="42">
  <si>
    <t>Quant.</t>
  </si>
  <si>
    <t>Distribuidor</t>
  </si>
  <si>
    <t>URL</t>
  </si>
  <si>
    <t>Descrição</t>
  </si>
  <si>
    <t>Preço un.</t>
  </si>
  <si>
    <t>Sub-total</t>
  </si>
  <si>
    <t>Ref. Fabricante</t>
  </si>
  <si>
    <t>Categoria</t>
  </si>
  <si>
    <t>Mauser</t>
  </si>
  <si>
    <t>Total</t>
  </si>
  <si>
    <t>Transporte</t>
  </si>
  <si>
    <t>Sub-Total</t>
  </si>
  <si>
    <r>
      <t> </t>
    </r>
    <r>
      <rPr>
        <sz val="8"/>
        <color rgb="FF0F1111"/>
        <rFont val="Arial"/>
        <family val="2"/>
      </rPr>
      <t>B0CTMQQ1W4</t>
    </r>
  </si>
  <si>
    <t>LAFVIN Kit  ESP32 ESP-32S WiFi I OT com tutorial compatível com Arduino IDE</t>
  </si>
  <si>
    <t>Elétronica</t>
  </si>
  <si>
    <t>amazon</t>
  </si>
  <si>
    <t>https://www.amazon.es/-/pt/dp/B0CTMQQ1W4?pd_rd_w=dQx0q&amp;content-id=amzn1.sym.858fbeea-9cb5-4858-a8fb-18cdacba569c&amp;pf_rd_p=858fbeea-9cb5-4858-a8fb-18cdacba569c&amp;pf_rd_r=CWT7DY7BNH30EGTEWA6X&amp;pd_rd_wg=9HNIz&amp;pd_rd_r=c9dd905b-729b-47df-b026-a636c56e6bf7&amp;pd_rd_i=B0CTMQQ1W4&amp;psc=1&amp;ref_=pd_bap_d_grid_rp_0_4_t</t>
  </si>
  <si>
    <t>096-6477</t>
  </si>
  <si>
    <t>Motor micro servo</t>
  </si>
  <si>
    <t>Módulo carregador de bateria Li-Ion 1A</t>
  </si>
  <si>
    <t>096-8745</t>
  </si>
  <si>
    <t>Módulo</t>
  </si>
  <si>
    <t>https://mauser.pt/096-8745/modulo-carregador-de-bateria-li-ion-1a-entrada-micro-usb-c-output</t>
  </si>
  <si>
    <t>Porta-pilhas 18650, suporte de bateria 18650</t>
  </si>
  <si>
    <t>B0DNKTX42G</t>
  </si>
  <si>
    <t>Suporte</t>
  </si>
  <si>
    <t>Amazon</t>
  </si>
  <si>
    <t>https://www.amazon.es/-/pt/dp/B0DNKTX42G/ref=pd_ci_mcx_mh_mcx_views_0_image?pd_rd_w=TawNZ&amp;content-id=amzn1.sym.24684093-7a0e-4ddb-a468-e438833a9ac5%3Aamzn1.symc.30e3dbb4-8dd8-4bad-b7a1-a45bcdbc49b8&amp;pf_rd_p=24684093-7a0e-4ddb-a468-e438833a9ac5&amp;pf_rd_r=1Z0H456GV4WW506450H9&amp;pd_rd_wg=EqurB&amp;pd_rd_r=cb80e581-4f38-46f3-bdd9-e9766d5ba2f4&amp;pd_rd_i=B0DNKTX42G&amp;th=1</t>
  </si>
  <si>
    <t>B0D2CSHWC4</t>
  </si>
  <si>
    <t>GTIWUNG 10 peças mini DC-DC Boost Step Up</t>
  </si>
  <si>
    <t>Eletrónica</t>
  </si>
  <si>
    <t>https://www.amazon.es/dp/B0D2CSHWC4?psc=1&amp;pd_rd_w=gX6tb&amp;content-id=amzn1.sym.b81adfe2-eaac-4c2e-a678-07d2f7fdc9fb&amp;pf_rd_p=b81adfe2-eaac-4c2e-a678-07d2f7fdc9fb&amp;pf_rd_r=0S6XW0MQ4S7CQKBX3X7Y&amp;pd_rd_wg=2Ka1J&amp;pd_rd_r=b1b8db5f-d143-4b4c-9553-9d89b983b038&amp;ref_=sspa_dk_detail_sbt_img_0&amp;sp_csd=d2lkZ2V0TmFtZT1zcF9kZXRhaWxfdGhlbWF0aWM=&amp;aref=KqtVmzlp1w</t>
  </si>
  <si>
    <t>Li-lon18650</t>
  </si>
  <si>
    <t>Bateria recaregável</t>
  </si>
  <si>
    <t>Energia</t>
  </si>
  <si>
    <t>https://amzn.eu/d/03Oc33ES</t>
  </si>
  <si>
    <t>https://mauser.pt/095-6778/motor-micro-servo-4-8v-6v-dc-sg90-360</t>
  </si>
  <si>
    <t>Sensor de Profundidade e Nível De Água Arduino</t>
  </si>
  <si>
    <t>Sensor</t>
  </si>
  <si>
    <t>MicroWire</t>
  </si>
  <si>
    <t>https://www.microwire.pt/sensor-de-profundidade-e-nivel-de-agua-arduino?gad_source=1&amp;gad_campaignid=21118337019&amp;gbraid=0AAAAAoisebjDsha2gcWfmHSI2T92_vvz9&amp;gclid=EAIaIQobChMImqacg-3ckwMVUX9BAh1UZBvsEAQYAyABEgICt_D_BwE</t>
  </si>
  <si>
    <t>FR4 HASL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</si>
</sst>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0F1111"/>
      <name val="Arial"/>
      <family val="2"/>
    </font>
    <font>
      <sz val="8"/>
      <color rgb="FF0F1111"/>
      <name val="Arial"/>
      <family val="2"/>
    </font>
    <font>
      <sz val="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F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1" applyAlignment="1">
      <alignment horizontal="left"/>
    </xf>
    <xf numFmtId="0" fontId="6" fillId="0" borderId="0" xfId="0" applyFont="1"/>
    <xf numFmtId="0" fontId="6" fillId="0" borderId="0" xfId="0" applyFont="1" applyAlignment="1">
      <alignment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user.pt/096-8745/modulo-carregador-de-bateria-li-ion-1a-entrada-micro-usb-c-output" TargetMode="External"/><Relationship Id="rId2" Type="http://schemas.openxmlformats.org/officeDocument/2006/relationships/hyperlink" Target="https://mauser.pt/095-6778/motor-micro-servo-4-8v-6v-dc-sg90-360" TargetMode="External"/><Relationship Id="rId1" Type="http://schemas.openxmlformats.org/officeDocument/2006/relationships/hyperlink" Target="https://www.amazon.es/-/pt/dp/B0CTMQQ1W4?pd_rd_w=dQx0q&amp;content-id=amzn1.sym.858fbeea-9cb5-4858-a8fb-18cdacba569c&amp;pf_rd_p=858fbeea-9cb5-4858-a8fb-18cdacba569c&amp;pf_rd_r=CWT7DY7BNH30EGTEWA6X&amp;pd_rd_wg=9HNIz&amp;pd_rd_r=c9dd905b-729b-47df-b026-a636c56e6bf7&amp;pd_rd_i=B0CTMQQ1W4&amp;psc=1&amp;ref_=pd_bap_d_grid_rp_0_4_t" TargetMode="External"/><Relationship Id="rId5" Type="http://schemas.openxmlformats.org/officeDocument/2006/relationships/hyperlink" Target="https://amzn.eu/d/03Oc33ES" TargetMode="External"/><Relationship Id="rId4" Type="http://schemas.openxmlformats.org/officeDocument/2006/relationships/hyperlink" Target="https://www.amazon.es/dp/B0D2CSHWC4?psc=1&amp;pd_rd_w=gX6tb&amp;content-id=amzn1.sym.b81adfe2-eaac-4c2e-a678-07d2f7fdc9fb&amp;pf_rd_p=b81adfe2-eaac-4c2e-a678-07d2f7fdc9fb&amp;pf_rd_r=0S6XW0MQ4S7CQKBX3X7Y&amp;pd_rd_wg=2Ka1J&amp;pd_rd_r=b1b8db5f-d143-4b4c-9553-9d89b983b038&amp;ref_=sspa_dk_detail_sbt_img_0&amp;sp_csd=d2lkZ2V0TmFtZT1zcF9kZXRhaWxfdGhlbWF0aWM=&amp;aref=KqtVmzlp1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7B9A-0911-DB42-B99E-A1ED589BEDF8}">
  <dimension ref="A1:H11"/>
  <sheetViews>
    <sheetView tabSelected="1" zoomScale="125" zoomScaleNormal="100" workbookViewId="0">
      <selection activeCell="C9" sqref="C9"/>
    </sheetView>
  </sheetViews>
  <sheetFormatPr defaultColWidth="11.19921875" defaultRowHeight="15.6" x14ac:dyDescent="0.3"/>
  <cols>
    <col min="1" max="1" width="21" style="3" customWidth="1"/>
    <col min="2" max="2" width="45.796875" style="2" customWidth="1"/>
    <col min="3" max="3" width="16.69921875" style="3" customWidth="1"/>
    <col min="4" max="4" width="6.69921875" style="5" customWidth="1"/>
    <col min="5" max="5" width="11.796875" style="7" customWidth="1"/>
    <col min="6" max="6" width="11.69921875" style="7" customWidth="1"/>
    <col min="7" max="7" width="17.69921875" style="3" customWidth="1"/>
    <col min="8" max="8" width="59" style="2" customWidth="1"/>
  </cols>
  <sheetData>
    <row r="1" spans="1:8" s="1" customFormat="1" x14ac:dyDescent="0.3">
      <c r="A1" s="1" t="s">
        <v>6</v>
      </c>
      <c r="B1" s="1" t="s">
        <v>3</v>
      </c>
      <c r="C1" s="1" t="s">
        <v>7</v>
      </c>
      <c r="D1" s="4" t="s">
        <v>0</v>
      </c>
      <c r="E1" s="6" t="s">
        <v>4</v>
      </c>
      <c r="F1" s="6" t="s">
        <v>5</v>
      </c>
      <c r="G1" s="1" t="s">
        <v>1</v>
      </c>
      <c r="H1" s="1" t="s">
        <v>2</v>
      </c>
    </row>
    <row r="2" spans="1:8" x14ac:dyDescent="0.3">
      <c r="A2" s="3" t="s">
        <v>20</v>
      </c>
      <c r="B2" s="2" t="s">
        <v>19</v>
      </c>
      <c r="C2" s="3" t="s">
        <v>21</v>
      </c>
      <c r="D2" s="5">
        <v>1</v>
      </c>
      <c r="E2" s="7">
        <v>2.0499999999999998</v>
      </c>
      <c r="F2" s="7">
        <f>D2*E2</f>
        <v>2.0499999999999998</v>
      </c>
      <c r="G2" s="3" t="s">
        <v>8</v>
      </c>
      <c r="H2" s="10" t="s">
        <v>22</v>
      </c>
    </row>
    <row r="3" spans="1:8" x14ac:dyDescent="0.3">
      <c r="A3" s="8" t="s">
        <v>12</v>
      </c>
      <c r="B3" s="9" t="s">
        <v>13</v>
      </c>
      <c r="C3" s="3" t="s">
        <v>14</v>
      </c>
      <c r="D3" s="5">
        <v>1</v>
      </c>
      <c r="E3" s="7">
        <v>23.27</v>
      </c>
      <c r="F3" s="7">
        <v>23.27</v>
      </c>
      <c r="G3" s="3" t="s">
        <v>15</v>
      </c>
      <c r="H3" s="10" t="s">
        <v>16</v>
      </c>
    </row>
    <row r="4" spans="1:8" x14ac:dyDescent="0.3">
      <c r="A4" s="3" t="s">
        <v>17</v>
      </c>
      <c r="B4" s="2" t="s">
        <v>18</v>
      </c>
      <c r="C4" s="3" t="s">
        <v>14</v>
      </c>
      <c r="D4" s="5">
        <v>2</v>
      </c>
      <c r="E4" s="7">
        <v>3.2</v>
      </c>
      <c r="F4" s="7">
        <f t="shared" ref="F4:F6" si="0">D4*E4</f>
        <v>6.4</v>
      </c>
      <c r="G4" s="3" t="s">
        <v>8</v>
      </c>
      <c r="H4" s="10" t="s">
        <v>36</v>
      </c>
    </row>
    <row r="5" spans="1:8" x14ac:dyDescent="0.3">
      <c r="A5" s="3" t="s">
        <v>24</v>
      </c>
      <c r="B5" s="2" t="s">
        <v>23</v>
      </c>
      <c r="C5" s="3" t="s">
        <v>25</v>
      </c>
      <c r="D5" s="5">
        <v>1</v>
      </c>
      <c r="E5" s="7">
        <v>5.07</v>
      </c>
      <c r="F5" s="7">
        <v>5.07</v>
      </c>
      <c r="G5" s="3" t="s">
        <v>26</v>
      </c>
      <c r="H5" s="10" t="s">
        <v>27</v>
      </c>
    </row>
    <row r="6" spans="1:8" x14ac:dyDescent="0.3">
      <c r="A6" s="3" t="s">
        <v>32</v>
      </c>
      <c r="B6" s="2" t="s">
        <v>33</v>
      </c>
      <c r="C6" s="3" t="s">
        <v>34</v>
      </c>
      <c r="D6" s="5">
        <v>1</v>
      </c>
      <c r="E6" s="7">
        <v>8.44</v>
      </c>
      <c r="F6" s="7">
        <f t="shared" si="0"/>
        <v>8.44</v>
      </c>
      <c r="G6" s="3" t="s">
        <v>26</v>
      </c>
      <c r="H6" s="10" t="s">
        <v>35</v>
      </c>
    </row>
    <row r="7" spans="1:8" x14ac:dyDescent="0.3">
      <c r="A7" s="3" t="s">
        <v>41</v>
      </c>
      <c r="B7" s="2" t="s">
        <v>37</v>
      </c>
      <c r="C7" s="3" t="s">
        <v>38</v>
      </c>
      <c r="D7" s="5">
        <v>1</v>
      </c>
      <c r="E7" s="7">
        <v>0</v>
      </c>
      <c r="F7" s="7">
        <v>0</v>
      </c>
      <c r="G7" s="3" t="s">
        <v>39</v>
      </c>
      <c r="H7" s="10" t="s">
        <v>40</v>
      </c>
    </row>
    <row r="8" spans="1:8" x14ac:dyDescent="0.3">
      <c r="A8" s="11" t="s">
        <v>28</v>
      </c>
      <c r="B8" s="12" t="s">
        <v>29</v>
      </c>
      <c r="C8" s="3" t="s">
        <v>30</v>
      </c>
      <c r="D8" s="5">
        <v>1</v>
      </c>
      <c r="E8" s="7">
        <v>0</v>
      </c>
      <c r="F8" s="7">
        <v>0</v>
      </c>
      <c r="G8" s="3" t="s">
        <v>26</v>
      </c>
      <c r="H8" s="10" t="s">
        <v>31</v>
      </c>
    </row>
    <row r="9" spans="1:8" x14ac:dyDescent="0.3">
      <c r="E9" s="6" t="s">
        <v>11</v>
      </c>
      <c r="F9" s="6">
        <f>SUM(F2:F8)</f>
        <v>45.23</v>
      </c>
    </row>
    <row r="10" spans="1:8" x14ac:dyDescent="0.3">
      <c r="E10" s="6" t="s">
        <v>10</v>
      </c>
      <c r="F10" s="6">
        <f>2.99+5</f>
        <v>7.99</v>
      </c>
    </row>
    <row r="11" spans="1:8" x14ac:dyDescent="0.3">
      <c r="E11" s="6" t="s">
        <v>9</v>
      </c>
      <c r="F11" s="6">
        <f>F9+F10</f>
        <v>53.22</v>
      </c>
    </row>
  </sheetData>
  <hyperlinks>
    <hyperlink ref="H3" r:id="rId1" display="https://www.amazon.es/-/pt/dp/B0CTMQQ1W4?pd_rd_w=dQx0q&amp;content-id=amzn1.sym.858fbeea-9cb5-4858-a8fb-18cdacba569c&amp;pf_rd_p=858fbeea-9cb5-4858-a8fb-18cdacba569c&amp;pf_rd_r=CWT7DY7BNH30EGTEWA6X&amp;pd_rd_wg=9HNIz&amp;pd_rd_r=c9dd905b-729b-47df-b026-a636c56e6bf7&amp;pd_rd_i=B0CTMQQ1W4&amp;psc=1&amp;ref_=pd_bap_d_grid_rp_0_4_t" xr:uid="{389F1F8C-D73C-4744-B9E1-BE6BC62B9FDB}"/>
    <hyperlink ref="H4" r:id="rId2" xr:uid="{778434A1-3AF5-4C3A-B72E-BB81EDFCA9A9}"/>
    <hyperlink ref="H2" r:id="rId3" xr:uid="{A709284E-CF0E-4A54-825C-6565C258D275}"/>
    <hyperlink ref="H8" r:id="rId4" display="https://www.amazon.es/dp/B0D2CSHWC4?psc=1&amp;pd_rd_w=gX6tb&amp;content-id=amzn1.sym.b81adfe2-eaac-4c2e-a678-07d2f7fdc9fb&amp;pf_rd_p=b81adfe2-eaac-4c2e-a678-07d2f7fdc9fb&amp;pf_rd_r=0S6XW0MQ4S7CQKBX3X7Y&amp;pd_rd_wg=2Ka1J&amp;pd_rd_r=b1b8db5f-d143-4b4c-9553-9d89b983b038&amp;ref_=sspa_dk_detail_sbt_img_0&amp;sp_csd=d2lkZ2V0TmFtZT1zcF9kZXRhaWxfdGhlbWF0aWM=&amp;aref=KqtVmzlp1w" xr:uid="{29D9EB57-4F59-4AE6-AE59-1EBBD34F65D2}"/>
    <hyperlink ref="H6" r:id="rId5" xr:uid="{819B7625-87E5-4AB6-AE7F-170FE51E4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Campos</dc:creator>
  <cp:lastModifiedBy>Pedro Dias</cp:lastModifiedBy>
  <dcterms:created xsi:type="dcterms:W3CDTF">2024-03-18T14:16:46Z</dcterms:created>
  <dcterms:modified xsi:type="dcterms:W3CDTF">2026-04-08T07:19:55Z</dcterms:modified>
</cp:coreProperties>
</file>